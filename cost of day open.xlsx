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HD\Spring 2024\RA NAte\"/>
    </mc:Choice>
  </mc:AlternateContent>
  <xr:revisionPtr revIDLastSave="0" documentId="13_ncr:1_{4B5E6238-33CF-4FBB-ADA6-3990F671F98E}" xr6:coauthVersionLast="47" xr6:coauthVersionMax="47" xr10:uidLastSave="{00000000-0000-0000-0000-000000000000}"/>
  <bookViews>
    <workbookView xWindow="-110" yWindow="-110" windowWidth="19420" windowHeight="10300" xr2:uid="{5846E7C5-6BED-4CDC-BEC2-FFF78A40474E}"/>
  </bookViews>
  <sheets>
    <sheet name="economic value" sheetId="1" r:id="rId1"/>
    <sheet name="best solu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1" l="1"/>
  <c r="B26" i="1"/>
  <c r="C26" i="1"/>
  <c r="D26" i="1"/>
  <c r="E26" i="1"/>
  <c r="F26" i="1"/>
  <c r="G26" i="1"/>
  <c r="H26" i="1"/>
  <c r="I26" i="1"/>
  <c r="J26" i="1"/>
  <c r="K26" i="1"/>
  <c r="B27" i="1"/>
  <c r="C27" i="1"/>
  <c r="D27" i="1"/>
  <c r="E27" i="1"/>
  <c r="F27" i="1"/>
  <c r="G27" i="1"/>
  <c r="H27" i="1"/>
  <c r="I27" i="1"/>
  <c r="J27" i="1"/>
  <c r="K27" i="1"/>
  <c r="B28" i="1"/>
  <c r="C28" i="1"/>
  <c r="D28" i="1"/>
  <c r="E28" i="1"/>
  <c r="F28" i="1"/>
  <c r="G28" i="1"/>
  <c r="H28" i="1"/>
  <c r="I28" i="1"/>
  <c r="J28" i="1"/>
  <c r="K28" i="1"/>
  <c r="B29" i="1"/>
  <c r="C29" i="1"/>
  <c r="D29" i="1"/>
  <c r="E29" i="1"/>
  <c r="F29" i="1"/>
  <c r="G29" i="1"/>
  <c r="H29" i="1"/>
  <c r="I29" i="1"/>
  <c r="J29" i="1"/>
  <c r="K29" i="1"/>
  <c r="B30" i="1"/>
  <c r="C30" i="1"/>
  <c r="D30" i="1"/>
  <c r="E30" i="1"/>
  <c r="F30" i="1"/>
  <c r="G30" i="1"/>
  <c r="H30" i="1"/>
  <c r="I30" i="1"/>
  <c r="J30" i="1"/>
  <c r="K30" i="1"/>
  <c r="C25" i="1"/>
  <c r="D25" i="1"/>
  <c r="E25" i="1"/>
  <c r="F25" i="1"/>
  <c r="G25" i="1"/>
  <c r="H25" i="1"/>
  <c r="I25" i="1"/>
  <c r="J25" i="1"/>
  <c r="K25" i="1"/>
  <c r="C10" i="1" l="1"/>
  <c r="C18" i="1" s="1"/>
  <c r="D10" i="1"/>
  <c r="D18" i="1" s="1"/>
  <c r="E10" i="1"/>
  <c r="E18" i="1" s="1"/>
  <c r="F10" i="1"/>
  <c r="F18" i="1" s="1"/>
  <c r="G10" i="1"/>
  <c r="G18" i="1" s="1"/>
  <c r="H10" i="1"/>
  <c r="H18" i="1" s="1"/>
  <c r="I10" i="1"/>
  <c r="I18" i="1" s="1"/>
  <c r="J10" i="1"/>
  <c r="J18" i="1" s="1"/>
  <c r="K10" i="1"/>
  <c r="K18" i="1" s="1"/>
  <c r="C11" i="1"/>
  <c r="C19" i="1" s="1"/>
  <c r="D11" i="1"/>
  <c r="D19" i="1" s="1"/>
  <c r="E11" i="1"/>
  <c r="E19" i="1" s="1"/>
  <c r="F11" i="1"/>
  <c r="F19" i="1" s="1"/>
  <c r="G11" i="1"/>
  <c r="G19" i="1" s="1"/>
  <c r="H11" i="1"/>
  <c r="H19" i="1" s="1"/>
  <c r="I11" i="1"/>
  <c r="I19" i="1" s="1"/>
  <c r="J11" i="1"/>
  <c r="J19" i="1" s="1"/>
  <c r="K11" i="1"/>
  <c r="K19" i="1" s="1"/>
  <c r="C12" i="1"/>
  <c r="C20" i="1" s="1"/>
  <c r="D12" i="1"/>
  <c r="D20" i="1" s="1"/>
  <c r="E12" i="1"/>
  <c r="E20" i="1" s="1"/>
  <c r="F12" i="1"/>
  <c r="F20" i="1" s="1"/>
  <c r="G12" i="1"/>
  <c r="G20" i="1" s="1"/>
  <c r="H12" i="1"/>
  <c r="H20" i="1" s="1"/>
  <c r="I12" i="1"/>
  <c r="I20" i="1" s="1"/>
  <c r="J12" i="1"/>
  <c r="J20" i="1" s="1"/>
  <c r="K12" i="1"/>
  <c r="K20" i="1" s="1"/>
  <c r="B10" i="1"/>
  <c r="B18" i="1" s="1"/>
  <c r="B11" i="1"/>
  <c r="B19" i="1" s="1"/>
  <c r="B12" i="1"/>
  <c r="B20" i="1" s="1"/>
  <c r="C9" i="1"/>
  <c r="C17" i="1" s="1"/>
  <c r="D9" i="1"/>
  <c r="D17" i="1" s="1"/>
  <c r="E9" i="1"/>
  <c r="E17" i="1" s="1"/>
  <c r="F9" i="1"/>
  <c r="F17" i="1" s="1"/>
  <c r="G9" i="1"/>
  <c r="G17" i="1" s="1"/>
  <c r="H9" i="1"/>
  <c r="I9" i="1"/>
  <c r="J9" i="1"/>
  <c r="J17" i="1" s="1"/>
  <c r="K9" i="1"/>
  <c r="K17" i="1" s="1"/>
  <c r="B9" i="1"/>
  <c r="B17" i="1" s="1"/>
  <c r="H13" i="1" l="1"/>
  <c r="H21" i="1" s="1"/>
  <c r="H17" i="1"/>
  <c r="I13" i="1"/>
  <c r="I21" i="1" s="1"/>
  <c r="I17" i="1"/>
  <c r="M11" i="1"/>
  <c r="O11" i="1" s="1"/>
  <c r="G14" i="1"/>
  <c r="G22" i="1" s="1"/>
  <c r="G13" i="1"/>
  <c r="G21" i="1" s="1"/>
  <c r="D14" i="1"/>
  <c r="D22" i="1" s="1"/>
  <c r="E13" i="1"/>
  <c r="E21" i="1" s="1"/>
  <c r="C14" i="1"/>
  <c r="C22" i="1" s="1"/>
  <c r="I14" i="1"/>
  <c r="I22" i="1" s="1"/>
  <c r="F13" i="1"/>
  <c r="F21" i="1" s="1"/>
  <c r="C34" i="1"/>
  <c r="D13" i="1"/>
  <c r="D21" i="1" s="1"/>
  <c r="J14" i="1"/>
  <c r="J22" i="1" s="1"/>
  <c r="K14" i="1"/>
  <c r="K22" i="1" s="1"/>
  <c r="K13" i="1"/>
  <c r="K21" i="1" s="1"/>
  <c r="C13" i="1"/>
  <c r="C21" i="1" s="1"/>
  <c r="J13" i="1"/>
  <c r="J21" i="1" s="1"/>
  <c r="H14" i="1"/>
  <c r="H22" i="1" s="1"/>
  <c r="B14" i="1"/>
  <c r="B22" i="1" s="1"/>
  <c r="F14" i="1"/>
  <c r="F22" i="1" s="1"/>
  <c r="E14" i="1"/>
  <c r="E22" i="1" s="1"/>
  <c r="C35" i="1"/>
  <c r="M9" i="1"/>
  <c r="N9" i="1" s="1"/>
  <c r="M12" i="1"/>
  <c r="N12" i="1" s="1"/>
  <c r="B13" i="1"/>
  <c r="B21" i="1" s="1"/>
  <c r="M10" i="1"/>
  <c r="N10" i="1" s="1"/>
  <c r="C33" i="1"/>
  <c r="O9" i="1" l="1"/>
  <c r="O10" i="1"/>
  <c r="N11" i="1"/>
  <c r="O12" i="1"/>
</calcChain>
</file>

<file path=xl/sharedStrings.xml><?xml version="1.0" encoding="utf-8"?>
<sst xmlns="http://schemas.openxmlformats.org/spreadsheetml/2006/main" count="59" uniqueCount="41">
  <si>
    <t>Lact</t>
  </si>
  <si>
    <t>MIM 1</t>
  </si>
  <si>
    <t>MIM 2</t>
  </si>
  <si>
    <t>MIM 3</t>
  </si>
  <si>
    <t>MIM 4</t>
  </si>
  <si>
    <t>MIM 5</t>
  </si>
  <si>
    <t>MIM 6</t>
  </si>
  <si>
    <t>MIM 7</t>
  </si>
  <si>
    <t>MIM 8</t>
  </si>
  <si>
    <t>MIM 9</t>
  </si>
  <si>
    <t>MIM 10</t>
  </si>
  <si>
    <t>MIM 11</t>
  </si>
  <si>
    <t>Cost of day open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</si>
  <si>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</si>
  <si>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</si>
  <si>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</si>
  <si>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</si>
  <si>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</si>
  <si>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</si>
  <si>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</si>
  <si>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</si>
  <si>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</si>
  <si>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</si>
  <si>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Max</t>
  </si>
  <si>
    <t xml:space="preserve">Min </t>
  </si>
  <si>
    <t>Avg</t>
  </si>
  <si>
    <t>Total</t>
  </si>
  <si>
    <t>Min</t>
  </si>
  <si>
    <t>days in months</t>
  </si>
  <si>
    <t>All cows</t>
  </si>
  <si>
    <t>Multiparous</t>
  </si>
  <si>
    <t>Best Solutions</t>
  </si>
  <si>
    <t>All Cows</t>
  </si>
  <si>
    <t>Lactation 1</t>
  </si>
  <si>
    <t>Lactation 2</t>
  </si>
  <si>
    <t>Lactation 3</t>
  </si>
  <si>
    <t>Lactation 4</t>
  </si>
  <si>
    <t>Revenue</t>
  </si>
  <si>
    <t>Cost</t>
  </si>
  <si>
    <t>25% rise</t>
  </si>
  <si>
    <t>50% 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</si>
</sst>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3FBBB-4CDC-4B0C-9946-FCF0D04DF7B2}">
  <dimension ref="A1:O35"/>
  <sheetViews>
    <sheetView tabSelected="1" workbookViewId="0">
      <selection activeCell="L15" sqref="L15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5" x14ac:dyDescent="0.35">
      <c r="A2">
        <v>1</v>
      </c>
      <c r="B2">
        <v>704</v>
      </c>
      <c r="C2">
        <v>721</v>
      </c>
      <c r="D2">
        <v>682</v>
      </c>
      <c r="E2">
        <v>596</v>
      </c>
      <c r="F2">
        <v>504</v>
      </c>
      <c r="G2">
        <v>412</v>
      </c>
      <c r="H2">
        <v>322</v>
      </c>
      <c r="I2">
        <v>233</v>
      </c>
      <c r="J2">
        <v>146</v>
      </c>
      <c r="K2">
        <v>56</v>
      </c>
      <c r="L2">
        <v>-39</v>
      </c>
    </row>
    <row r="3" spans="1:15" x14ac:dyDescent="0.35">
      <c r="A3">
        <v>2</v>
      </c>
      <c r="B3">
        <v>897</v>
      </c>
      <c r="C3">
        <v>825</v>
      </c>
      <c r="D3">
        <v>705</v>
      </c>
      <c r="E3">
        <v>551</v>
      </c>
      <c r="F3">
        <v>409</v>
      </c>
      <c r="G3">
        <v>282</v>
      </c>
      <c r="H3">
        <v>169</v>
      </c>
      <c r="I3">
        <v>71</v>
      </c>
      <c r="J3">
        <v>-10</v>
      </c>
      <c r="K3">
        <v>-76</v>
      </c>
      <c r="L3">
        <v>-126</v>
      </c>
    </row>
    <row r="4" spans="1:15" x14ac:dyDescent="0.35">
      <c r="A4">
        <v>3</v>
      </c>
      <c r="B4">
        <v>917</v>
      </c>
      <c r="C4">
        <v>857</v>
      </c>
      <c r="D4">
        <v>733</v>
      </c>
      <c r="E4">
        <v>567</v>
      </c>
      <c r="F4">
        <v>414</v>
      </c>
      <c r="G4">
        <v>279</v>
      </c>
      <c r="H4">
        <v>162</v>
      </c>
      <c r="I4">
        <v>64</v>
      </c>
      <c r="J4">
        <v>-14</v>
      </c>
      <c r="K4">
        <v>-70</v>
      </c>
      <c r="L4">
        <v>-103</v>
      </c>
    </row>
    <row r="5" spans="1:15" x14ac:dyDescent="0.35">
      <c r="A5">
        <v>4</v>
      </c>
      <c r="B5">
        <v>874</v>
      </c>
      <c r="C5">
        <v>822</v>
      </c>
      <c r="D5">
        <v>704</v>
      </c>
      <c r="E5">
        <v>543</v>
      </c>
      <c r="F5">
        <v>394</v>
      </c>
      <c r="G5">
        <v>263</v>
      </c>
      <c r="H5">
        <v>149</v>
      </c>
      <c r="I5">
        <v>54</v>
      </c>
      <c r="J5">
        <v>-20</v>
      </c>
      <c r="K5">
        <v>-73</v>
      </c>
      <c r="L5">
        <v>-101</v>
      </c>
    </row>
    <row r="6" spans="1:15" x14ac:dyDescent="0.35">
      <c r="M6" s="2" t="s">
        <v>28</v>
      </c>
      <c r="N6" s="2">
        <v>30</v>
      </c>
    </row>
    <row r="7" spans="1:15" x14ac:dyDescent="0.35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 t="s">
        <v>20</v>
      </c>
      <c r="J7" t="s">
        <v>21</v>
      </c>
      <c r="K7" t="s">
        <v>22</v>
      </c>
      <c r="M7" t="s">
        <v>23</v>
      </c>
      <c r="N7" t="s">
        <v>27</v>
      </c>
      <c r="O7" t="s">
        <v>25</v>
      </c>
    </row>
    <row r="8" spans="1:15" x14ac:dyDescent="0.35">
      <c r="A8" t="s">
        <v>0</v>
      </c>
    </row>
    <row r="9" spans="1:15" x14ac:dyDescent="0.35">
      <c r="A9">
        <v>1</v>
      </c>
      <c r="B9" s="1">
        <f>(B2-C2)/$N$6</f>
        <v>-0.56666666666666665</v>
      </c>
      <c r="C9" s="1">
        <f t="shared" ref="C9:K9" si="0">(C2-D2)/$N$6</f>
        <v>1.3</v>
      </c>
      <c r="D9" s="1">
        <f t="shared" si="0"/>
        <v>2.8666666666666667</v>
      </c>
      <c r="E9" s="1">
        <f t="shared" si="0"/>
        <v>3.0666666666666669</v>
      </c>
      <c r="F9" s="1">
        <f t="shared" si="0"/>
        <v>3.0666666666666669</v>
      </c>
      <c r="G9" s="1">
        <f t="shared" si="0"/>
        <v>3</v>
      </c>
      <c r="H9" s="1">
        <f t="shared" si="0"/>
        <v>2.9666666666666668</v>
      </c>
      <c r="I9" s="1">
        <f t="shared" si="0"/>
        <v>2.9</v>
      </c>
      <c r="J9" s="1">
        <f t="shared" si="0"/>
        <v>3</v>
      </c>
      <c r="K9" s="1">
        <f t="shared" si="0"/>
        <v>3.1666666666666665</v>
      </c>
      <c r="M9" s="1">
        <f xml:space="preserve"> MAX(B9:K9)</f>
        <v>3.1666666666666665</v>
      </c>
      <c r="N9" s="1">
        <f>MIN(B9:M9)</f>
        <v>-0.56666666666666665</v>
      </c>
      <c r="O9" s="1">
        <f>AVERAGE(B9:M9)</f>
        <v>2.5393939393939395</v>
      </c>
    </row>
    <row r="10" spans="1:15" x14ac:dyDescent="0.35">
      <c r="A10">
        <v>2</v>
      </c>
      <c r="B10" s="1">
        <f t="shared" ref="B10:K12" si="1">(B3-C3)/$N$6</f>
        <v>2.4</v>
      </c>
      <c r="C10" s="1">
        <f t="shared" si="1"/>
        <v>4</v>
      </c>
      <c r="D10" s="1">
        <f t="shared" si="1"/>
        <v>5.1333333333333337</v>
      </c>
      <c r="E10" s="1">
        <f t="shared" si="1"/>
        <v>4.7333333333333334</v>
      </c>
      <c r="F10" s="1">
        <f t="shared" si="1"/>
        <v>4.2333333333333334</v>
      </c>
      <c r="G10" s="1">
        <f t="shared" si="1"/>
        <v>3.7666666666666666</v>
      </c>
      <c r="H10" s="1">
        <f t="shared" si="1"/>
        <v>3.2666666666666666</v>
      </c>
      <c r="I10" s="1">
        <f t="shared" si="1"/>
        <v>2.7</v>
      </c>
      <c r="J10" s="1">
        <f t="shared" si="1"/>
        <v>2.2000000000000002</v>
      </c>
      <c r="K10" s="1">
        <f t="shared" si="1"/>
        <v>1.6666666666666667</v>
      </c>
      <c r="M10" s="1">
        <f xml:space="preserve"> MAX(B10:K10)</f>
        <v>5.1333333333333337</v>
      </c>
      <c r="N10" s="1">
        <f>MIN(B10:M10)</f>
        <v>1.6666666666666667</v>
      </c>
      <c r="O10" s="1">
        <f>AVERAGE(B10:M10)</f>
        <v>3.5666666666666669</v>
      </c>
    </row>
    <row r="11" spans="1:15" x14ac:dyDescent="0.35">
      <c r="A11">
        <v>3</v>
      </c>
      <c r="B11" s="1">
        <f t="shared" si="1"/>
        <v>2</v>
      </c>
      <c r="C11" s="1">
        <f t="shared" si="1"/>
        <v>4.1333333333333337</v>
      </c>
      <c r="D11" s="1">
        <f t="shared" si="1"/>
        <v>5.5333333333333332</v>
      </c>
      <c r="E11" s="1">
        <f t="shared" si="1"/>
        <v>5.0999999999999996</v>
      </c>
      <c r="F11" s="1">
        <f t="shared" si="1"/>
        <v>4.5</v>
      </c>
      <c r="G11" s="1">
        <f t="shared" si="1"/>
        <v>3.9</v>
      </c>
      <c r="H11" s="1">
        <f t="shared" si="1"/>
        <v>3.2666666666666666</v>
      </c>
      <c r="I11" s="1">
        <f t="shared" si="1"/>
        <v>2.6</v>
      </c>
      <c r="J11" s="1">
        <f t="shared" si="1"/>
        <v>1.8666666666666667</v>
      </c>
      <c r="K11" s="1">
        <f t="shared" si="1"/>
        <v>1.1000000000000001</v>
      </c>
      <c r="M11" s="1">
        <f xml:space="preserve"> MAX(B11:K11)</f>
        <v>5.5333333333333332</v>
      </c>
      <c r="N11" s="1">
        <f>MIN(B11:M11)</f>
        <v>1.1000000000000001</v>
      </c>
      <c r="O11" s="1">
        <f>AVERAGE(B11:M11)</f>
        <v>3.5939393939393938</v>
      </c>
    </row>
    <row r="12" spans="1:15" x14ac:dyDescent="0.35">
      <c r="A12">
        <v>4</v>
      </c>
      <c r="B12" s="1">
        <f t="shared" si="1"/>
        <v>1.7333333333333334</v>
      </c>
      <c r="C12" s="1">
        <f t="shared" si="1"/>
        <v>3.9333333333333331</v>
      </c>
      <c r="D12" s="1">
        <f t="shared" si="1"/>
        <v>5.3666666666666663</v>
      </c>
      <c r="E12" s="1">
        <f t="shared" si="1"/>
        <v>4.9666666666666668</v>
      </c>
      <c r="F12" s="1">
        <f t="shared" si="1"/>
        <v>4.3666666666666663</v>
      </c>
      <c r="G12" s="1">
        <f t="shared" si="1"/>
        <v>3.8</v>
      </c>
      <c r="H12" s="1">
        <f t="shared" si="1"/>
        <v>3.1666666666666665</v>
      </c>
      <c r="I12" s="1">
        <f t="shared" si="1"/>
        <v>2.4666666666666668</v>
      </c>
      <c r="J12" s="1">
        <f t="shared" si="1"/>
        <v>1.7666666666666666</v>
      </c>
      <c r="K12" s="1">
        <f t="shared" si="1"/>
        <v>0.93333333333333335</v>
      </c>
      <c r="M12" s="1">
        <f xml:space="preserve"> MAX(B12:K12)</f>
        <v>5.3666666666666663</v>
      </c>
      <c r="N12" s="1">
        <f>MIN(B12:M12)</f>
        <v>0.93333333333333335</v>
      </c>
      <c r="O12" s="1">
        <f>AVERAGE(B12:M12)</f>
        <v>3.4424242424242419</v>
      </c>
    </row>
    <row r="13" spans="1:15" x14ac:dyDescent="0.35">
      <c r="A13" t="s">
        <v>29</v>
      </c>
      <c r="B13" s="1">
        <f>AVERAGE(B9:B12)</f>
        <v>1.3916666666666666</v>
      </c>
      <c r="C13" s="1">
        <f>AVERAGE(C9:C12)</f>
        <v>3.3416666666666668</v>
      </c>
      <c r="D13" s="1">
        <f>AVERAGE(D9:D12)</f>
        <v>4.7249999999999996</v>
      </c>
      <c r="E13" s="1">
        <f>AVERAGE(E9:E12)</f>
        <v>4.4666666666666668</v>
      </c>
      <c r="F13" s="1">
        <f>AVERAGE(F9:F12)</f>
        <v>4.041666666666667</v>
      </c>
      <c r="G13" s="1">
        <f>AVERAGE(G9:G12)</f>
        <v>3.6166666666666663</v>
      </c>
      <c r="H13" s="1">
        <f>AVERAGE(H9:H12)</f>
        <v>3.1666666666666665</v>
      </c>
      <c r="I13" s="1">
        <f>AVERAGE(I9:I12)</f>
        <v>2.6666666666666665</v>
      </c>
      <c r="J13" s="1">
        <f>AVERAGE(J9:J12)</f>
        <v>2.208333333333333</v>
      </c>
      <c r="K13" s="1">
        <f>AVERAGE(K9:K12)</f>
        <v>1.7166666666666668</v>
      </c>
    </row>
    <row r="14" spans="1:15" x14ac:dyDescent="0.35">
      <c r="A14" t="s">
        <v>30</v>
      </c>
      <c r="B14" s="1">
        <f>AVERAGE(B10:B12)</f>
        <v>2.0444444444444447</v>
      </c>
      <c r="C14" s="1">
        <f>AVERAGE(C10:C12)</f>
        <v>4.0222222222222221</v>
      </c>
      <c r="D14" s="1">
        <f>AVERAGE(D10:D12)</f>
        <v>5.344444444444445</v>
      </c>
      <c r="E14" s="1">
        <f>AVERAGE(E10:E12)</f>
        <v>4.9333333333333327</v>
      </c>
      <c r="F14" s="1">
        <f>AVERAGE(F10:F12)</f>
        <v>4.3666666666666671</v>
      </c>
      <c r="G14" s="1">
        <f>AVERAGE(G10:G12)</f>
        <v>3.8222222222222215</v>
      </c>
      <c r="H14" s="1">
        <f>AVERAGE(H10:H12)</f>
        <v>3.2333333333333329</v>
      </c>
      <c r="I14" s="1">
        <f>AVERAGE(I10:I12)</f>
        <v>2.588888888888889</v>
      </c>
      <c r="J14" s="1">
        <f>AVERAGE(J10:J12)</f>
        <v>1.9444444444444444</v>
      </c>
      <c r="K14" s="1">
        <f>AVERAGE(K10:K12)</f>
        <v>1.2333333333333334</v>
      </c>
    </row>
    <row r="15" spans="1:15" x14ac:dyDescent="0.35"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5" x14ac:dyDescent="0.35">
      <c r="A16" s="5" t="s">
        <v>39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35">
      <c r="A17">
        <v>1</v>
      </c>
      <c r="B17" s="1">
        <f>-B9*0.25+B9</f>
        <v>-0.42499999999999999</v>
      </c>
      <c r="C17" s="1">
        <f t="shared" ref="C17:K17" si="2">C9*1.25</f>
        <v>1.625</v>
      </c>
      <c r="D17" s="1">
        <f t="shared" si="2"/>
        <v>3.5833333333333335</v>
      </c>
      <c r="E17" s="1">
        <f t="shared" si="2"/>
        <v>3.8333333333333335</v>
      </c>
      <c r="F17" s="1">
        <f t="shared" si="2"/>
        <v>3.8333333333333335</v>
      </c>
      <c r="G17" s="1">
        <f t="shared" si="2"/>
        <v>3.75</v>
      </c>
      <c r="H17" s="1">
        <f t="shared" si="2"/>
        <v>3.7083333333333335</v>
      </c>
      <c r="I17" s="1">
        <f t="shared" si="2"/>
        <v>3.625</v>
      </c>
      <c r="J17" s="1">
        <f t="shared" si="2"/>
        <v>3.75</v>
      </c>
      <c r="K17" s="1">
        <f t="shared" si="2"/>
        <v>3.958333333333333</v>
      </c>
    </row>
    <row r="18" spans="1:11" x14ac:dyDescent="0.35">
      <c r="A18">
        <v>2</v>
      </c>
      <c r="B18" s="1">
        <f t="shared" ref="B18:K18" si="3">B10*1.25</f>
        <v>3</v>
      </c>
      <c r="C18" s="1">
        <f t="shared" si="3"/>
        <v>5</v>
      </c>
      <c r="D18" s="1">
        <f t="shared" si="3"/>
        <v>6.416666666666667</v>
      </c>
      <c r="E18" s="1">
        <f t="shared" si="3"/>
        <v>5.916666666666667</v>
      </c>
      <c r="F18" s="1">
        <f t="shared" si="3"/>
        <v>5.291666666666667</v>
      </c>
      <c r="G18" s="1">
        <f t="shared" si="3"/>
        <v>4.708333333333333</v>
      </c>
      <c r="H18" s="1">
        <f t="shared" si="3"/>
        <v>4.083333333333333</v>
      </c>
      <c r="I18" s="1">
        <f t="shared" si="3"/>
        <v>3.375</v>
      </c>
      <c r="J18" s="1">
        <f t="shared" si="3"/>
        <v>2.75</v>
      </c>
      <c r="K18" s="1">
        <f t="shared" si="3"/>
        <v>2.0833333333333335</v>
      </c>
    </row>
    <row r="19" spans="1:11" x14ac:dyDescent="0.35">
      <c r="A19">
        <v>3</v>
      </c>
      <c r="B19" s="1">
        <f t="shared" ref="B19:K19" si="4">B11*1.25</f>
        <v>2.5</v>
      </c>
      <c r="C19" s="1">
        <f t="shared" si="4"/>
        <v>5.166666666666667</v>
      </c>
      <c r="D19" s="1">
        <f t="shared" si="4"/>
        <v>6.9166666666666661</v>
      </c>
      <c r="E19" s="1">
        <f t="shared" si="4"/>
        <v>6.375</v>
      </c>
      <c r="F19" s="1">
        <f t="shared" si="4"/>
        <v>5.625</v>
      </c>
      <c r="G19" s="1">
        <f t="shared" si="4"/>
        <v>4.875</v>
      </c>
      <c r="H19" s="1">
        <f t="shared" si="4"/>
        <v>4.083333333333333</v>
      </c>
      <c r="I19" s="1">
        <f t="shared" si="4"/>
        <v>3.25</v>
      </c>
      <c r="J19" s="1">
        <f t="shared" si="4"/>
        <v>2.3333333333333335</v>
      </c>
      <c r="K19" s="1">
        <f t="shared" si="4"/>
        <v>1.375</v>
      </c>
    </row>
    <row r="20" spans="1:11" x14ac:dyDescent="0.35">
      <c r="A20">
        <v>4</v>
      </c>
      <c r="B20" s="1">
        <f t="shared" ref="B20:K20" si="5">B12*1.25</f>
        <v>2.166666666666667</v>
      </c>
      <c r="C20" s="1">
        <f t="shared" si="5"/>
        <v>4.9166666666666661</v>
      </c>
      <c r="D20" s="1">
        <f t="shared" si="5"/>
        <v>6.708333333333333</v>
      </c>
      <c r="E20" s="1">
        <f t="shared" si="5"/>
        <v>6.2083333333333339</v>
      </c>
      <c r="F20" s="1">
        <f t="shared" si="5"/>
        <v>5.458333333333333</v>
      </c>
      <c r="G20" s="1">
        <f t="shared" si="5"/>
        <v>4.75</v>
      </c>
      <c r="H20" s="1">
        <f t="shared" si="5"/>
        <v>3.958333333333333</v>
      </c>
      <c r="I20" s="1">
        <f t="shared" si="5"/>
        <v>3.0833333333333335</v>
      </c>
      <c r="J20" s="1">
        <f t="shared" si="5"/>
        <v>2.208333333333333</v>
      </c>
      <c r="K20" s="1">
        <f t="shared" si="5"/>
        <v>1.1666666666666667</v>
      </c>
    </row>
    <row r="21" spans="1:11" x14ac:dyDescent="0.35">
      <c r="A21" t="s">
        <v>29</v>
      </c>
      <c r="B21" s="1">
        <f t="shared" ref="B21:K21" si="6">B13*1.25</f>
        <v>1.7395833333333333</v>
      </c>
      <c r="C21" s="1">
        <f t="shared" si="6"/>
        <v>4.1770833333333339</v>
      </c>
      <c r="D21" s="1">
        <f t="shared" si="6"/>
        <v>5.90625</v>
      </c>
      <c r="E21" s="1">
        <f t="shared" si="6"/>
        <v>5.5833333333333339</v>
      </c>
      <c r="F21" s="1">
        <f t="shared" si="6"/>
        <v>5.0520833333333339</v>
      </c>
      <c r="G21" s="1">
        <f t="shared" si="6"/>
        <v>4.520833333333333</v>
      </c>
      <c r="H21" s="1">
        <f t="shared" si="6"/>
        <v>3.958333333333333</v>
      </c>
      <c r="I21" s="1">
        <f t="shared" si="6"/>
        <v>3.333333333333333</v>
      </c>
      <c r="J21" s="1">
        <f t="shared" si="6"/>
        <v>2.7604166666666661</v>
      </c>
      <c r="K21" s="1">
        <f t="shared" si="6"/>
        <v>2.1458333333333335</v>
      </c>
    </row>
    <row r="22" spans="1:11" x14ac:dyDescent="0.35">
      <c r="A22" t="s">
        <v>30</v>
      </c>
      <c r="B22" s="1">
        <f t="shared" ref="B22:K22" si="7">B14*1.25</f>
        <v>2.5555555555555558</v>
      </c>
      <c r="C22" s="1">
        <f t="shared" si="7"/>
        <v>5.0277777777777777</v>
      </c>
      <c r="D22" s="1">
        <f t="shared" si="7"/>
        <v>6.6805555555555562</v>
      </c>
      <c r="E22" s="1">
        <f t="shared" si="7"/>
        <v>6.1666666666666661</v>
      </c>
      <c r="F22" s="1">
        <f t="shared" si="7"/>
        <v>5.4583333333333339</v>
      </c>
      <c r="G22" s="1">
        <f t="shared" si="7"/>
        <v>4.7777777777777768</v>
      </c>
      <c r="H22" s="1">
        <f t="shared" si="7"/>
        <v>4.0416666666666661</v>
      </c>
      <c r="I22" s="1">
        <f t="shared" si="7"/>
        <v>3.2361111111111112</v>
      </c>
      <c r="J22" s="1">
        <f t="shared" si="7"/>
        <v>2.4305555555555554</v>
      </c>
      <c r="K22" s="1">
        <f t="shared" si="7"/>
        <v>1.5416666666666667</v>
      </c>
    </row>
    <row r="23" spans="1:11" x14ac:dyDescent="0.35"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5">
      <c r="A24" t="s">
        <v>40</v>
      </c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35">
      <c r="A25">
        <v>1</v>
      </c>
      <c r="B25" s="1">
        <f>-B9*0.5 +B9</f>
        <v>-0.28333333333333333</v>
      </c>
      <c r="C25" s="1">
        <f t="shared" ref="C25:K25" si="8">C9*1.5</f>
        <v>1.9500000000000002</v>
      </c>
      <c r="D25" s="1">
        <f t="shared" si="8"/>
        <v>4.3</v>
      </c>
      <c r="E25" s="1">
        <f t="shared" si="8"/>
        <v>4.6000000000000005</v>
      </c>
      <c r="F25" s="1">
        <f t="shared" si="8"/>
        <v>4.6000000000000005</v>
      </c>
      <c r="G25" s="1">
        <f t="shared" si="8"/>
        <v>4.5</v>
      </c>
      <c r="H25" s="1">
        <f t="shared" si="8"/>
        <v>4.45</v>
      </c>
      <c r="I25" s="1">
        <f t="shared" si="8"/>
        <v>4.3499999999999996</v>
      </c>
      <c r="J25" s="1">
        <f t="shared" si="8"/>
        <v>4.5</v>
      </c>
      <c r="K25" s="1">
        <f t="shared" si="8"/>
        <v>4.75</v>
      </c>
    </row>
    <row r="26" spans="1:11" x14ac:dyDescent="0.35">
      <c r="A26">
        <v>2</v>
      </c>
      <c r="B26" s="1">
        <f t="shared" ref="B26:K26" si="9">B10*1.5</f>
        <v>3.5999999999999996</v>
      </c>
      <c r="C26" s="1">
        <f t="shared" si="9"/>
        <v>6</v>
      </c>
      <c r="D26" s="1">
        <f t="shared" si="9"/>
        <v>7.7000000000000011</v>
      </c>
      <c r="E26" s="1">
        <f t="shared" si="9"/>
        <v>7.1</v>
      </c>
      <c r="F26" s="1">
        <f t="shared" si="9"/>
        <v>6.35</v>
      </c>
      <c r="G26" s="1">
        <f t="shared" si="9"/>
        <v>5.65</v>
      </c>
      <c r="H26" s="1">
        <f t="shared" si="9"/>
        <v>4.9000000000000004</v>
      </c>
      <c r="I26" s="1">
        <f t="shared" si="9"/>
        <v>4.0500000000000007</v>
      </c>
      <c r="J26" s="1">
        <f t="shared" si="9"/>
        <v>3.3000000000000003</v>
      </c>
      <c r="K26" s="1">
        <f t="shared" si="9"/>
        <v>2.5</v>
      </c>
    </row>
    <row r="27" spans="1:11" x14ac:dyDescent="0.35">
      <c r="A27">
        <v>3</v>
      </c>
      <c r="B27" s="1">
        <f t="shared" ref="B27:K27" si="10">B11*1.5</f>
        <v>3</v>
      </c>
      <c r="C27" s="1">
        <f t="shared" si="10"/>
        <v>6.2000000000000011</v>
      </c>
      <c r="D27" s="1">
        <f t="shared" si="10"/>
        <v>8.3000000000000007</v>
      </c>
      <c r="E27" s="1">
        <f t="shared" si="10"/>
        <v>7.6499999999999995</v>
      </c>
      <c r="F27" s="1">
        <f t="shared" si="10"/>
        <v>6.75</v>
      </c>
      <c r="G27" s="1">
        <f t="shared" si="10"/>
        <v>5.85</v>
      </c>
      <c r="H27" s="1">
        <f t="shared" si="10"/>
        <v>4.9000000000000004</v>
      </c>
      <c r="I27" s="1">
        <f t="shared" si="10"/>
        <v>3.9000000000000004</v>
      </c>
      <c r="J27" s="1">
        <f t="shared" si="10"/>
        <v>2.8</v>
      </c>
      <c r="K27" s="1">
        <f t="shared" si="10"/>
        <v>1.6500000000000001</v>
      </c>
    </row>
    <row r="28" spans="1:11" x14ac:dyDescent="0.35">
      <c r="A28">
        <v>4</v>
      </c>
      <c r="B28" s="1">
        <f t="shared" ref="B28:K28" si="11">B12*1.5</f>
        <v>2.6</v>
      </c>
      <c r="C28" s="1">
        <f t="shared" si="11"/>
        <v>5.8999999999999995</v>
      </c>
      <c r="D28" s="1">
        <f t="shared" si="11"/>
        <v>8.0499999999999989</v>
      </c>
      <c r="E28" s="1">
        <f t="shared" si="11"/>
        <v>7.45</v>
      </c>
      <c r="F28" s="1">
        <f t="shared" si="11"/>
        <v>6.5499999999999989</v>
      </c>
      <c r="G28" s="1">
        <f t="shared" si="11"/>
        <v>5.6999999999999993</v>
      </c>
      <c r="H28" s="1">
        <f t="shared" si="11"/>
        <v>4.75</v>
      </c>
      <c r="I28" s="1">
        <f t="shared" si="11"/>
        <v>3.7</v>
      </c>
      <c r="J28" s="1">
        <f t="shared" si="11"/>
        <v>2.65</v>
      </c>
      <c r="K28" s="1">
        <f t="shared" si="11"/>
        <v>1.4</v>
      </c>
    </row>
    <row r="29" spans="1:11" x14ac:dyDescent="0.35">
      <c r="A29" t="s">
        <v>29</v>
      </c>
      <c r="B29" s="1">
        <f t="shared" ref="B29:K29" si="12">B13*1.5</f>
        <v>2.0874999999999999</v>
      </c>
      <c r="C29" s="1">
        <f t="shared" si="12"/>
        <v>5.0125000000000002</v>
      </c>
      <c r="D29" s="1">
        <f t="shared" si="12"/>
        <v>7.0874999999999995</v>
      </c>
      <c r="E29" s="1">
        <f t="shared" si="12"/>
        <v>6.7</v>
      </c>
      <c r="F29" s="1">
        <f t="shared" si="12"/>
        <v>6.0625</v>
      </c>
      <c r="G29" s="1">
        <f t="shared" si="12"/>
        <v>5.4249999999999989</v>
      </c>
      <c r="H29" s="1">
        <f t="shared" si="12"/>
        <v>4.75</v>
      </c>
      <c r="I29" s="1">
        <f t="shared" si="12"/>
        <v>4</v>
      </c>
      <c r="J29" s="1">
        <f t="shared" si="12"/>
        <v>3.3124999999999996</v>
      </c>
      <c r="K29" s="1">
        <f t="shared" si="12"/>
        <v>2.5750000000000002</v>
      </c>
    </row>
    <row r="30" spans="1:11" x14ac:dyDescent="0.35">
      <c r="A30" t="s">
        <v>30</v>
      </c>
      <c r="B30" s="1">
        <f t="shared" ref="B30:K30" si="13">B14*1.5</f>
        <v>3.0666666666666673</v>
      </c>
      <c r="C30" s="1">
        <f t="shared" si="13"/>
        <v>6.0333333333333332</v>
      </c>
      <c r="D30" s="1">
        <f t="shared" si="13"/>
        <v>8.0166666666666675</v>
      </c>
      <c r="E30" s="1">
        <f t="shared" si="13"/>
        <v>7.3999999999999986</v>
      </c>
      <c r="F30" s="1">
        <f t="shared" si="13"/>
        <v>6.5500000000000007</v>
      </c>
      <c r="G30" s="1">
        <f t="shared" si="13"/>
        <v>5.7333333333333325</v>
      </c>
      <c r="H30" s="1">
        <f t="shared" si="13"/>
        <v>4.8499999999999996</v>
      </c>
      <c r="I30" s="1">
        <f t="shared" si="13"/>
        <v>3.8833333333333337</v>
      </c>
      <c r="J30" s="1">
        <f t="shared" si="13"/>
        <v>2.9166666666666665</v>
      </c>
      <c r="K30" s="1">
        <f t="shared" si="13"/>
        <v>1.85</v>
      </c>
    </row>
    <row r="31" spans="1:11" x14ac:dyDescent="0.35">
      <c r="A31" s="5"/>
      <c r="B31" s="1"/>
      <c r="C31" s="1"/>
      <c r="D31" s="1"/>
      <c r="E31" s="1"/>
      <c r="F31" s="1"/>
      <c r="G31" s="1"/>
      <c r="H31" s="1"/>
      <c r="I31" s="1"/>
      <c r="J31" s="1"/>
      <c r="K31" s="1"/>
    </row>
    <row r="33" spans="1:3" x14ac:dyDescent="0.35">
      <c r="A33" s="2" t="s">
        <v>26</v>
      </c>
      <c r="B33" t="s">
        <v>23</v>
      </c>
      <c r="C33" s="1">
        <f>MAX(B9:K12)</f>
        <v>5.5333333333333332</v>
      </c>
    </row>
    <row r="34" spans="1:3" x14ac:dyDescent="0.35">
      <c r="B34" t="s">
        <v>24</v>
      </c>
      <c r="C34" s="1">
        <f>MIN(B9:K12)</f>
        <v>-0.56666666666666665</v>
      </c>
    </row>
    <row r="35" spans="1:3" x14ac:dyDescent="0.35">
      <c r="B35" t="s">
        <v>25</v>
      </c>
      <c r="C35" s="1">
        <f xml:space="preserve"> AVERAGE(B9:K12)</f>
        <v>3.1341666666666663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18278-C619-435A-BEF2-4D23B8494ACE}">
  <dimension ref="A1:M8"/>
  <sheetViews>
    <sheetView workbookViewId="0">
      <selection activeCell="J15" sqref="J15"/>
    </sheetView>
  </sheetViews>
  <sheetFormatPr defaultRowHeight="14.5" x14ac:dyDescent="0.35"/>
  <cols>
    <col min="1" max="1" width="10.81640625" customWidth="1"/>
  </cols>
  <sheetData>
    <row r="1" spans="1:13" x14ac:dyDescent="0.35">
      <c r="A1" s="3" t="s">
        <v>31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35">
      <c r="A2" s="3"/>
      <c r="B2" s="3" t="s">
        <v>37</v>
      </c>
      <c r="C2" s="3" t="s">
        <v>38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  <c r="L2" s="3" t="s">
        <v>21</v>
      </c>
      <c r="M2" s="3" t="s">
        <v>22</v>
      </c>
    </row>
    <row r="3" spans="1:13" x14ac:dyDescent="0.35">
      <c r="A3" s="3" t="s">
        <v>32</v>
      </c>
      <c r="B3" s="4">
        <v>6771.1220000000003</v>
      </c>
      <c r="C3" s="4">
        <v>557.36</v>
      </c>
      <c r="D3" s="4">
        <v>1.79</v>
      </c>
      <c r="E3" s="4">
        <v>2.09</v>
      </c>
      <c r="F3" s="4">
        <v>1.79</v>
      </c>
      <c r="G3" s="4">
        <v>1.5</v>
      </c>
      <c r="H3" s="4">
        <v>1.5</v>
      </c>
      <c r="I3" s="4">
        <v>1.8</v>
      </c>
      <c r="J3" s="4">
        <v>1.5</v>
      </c>
      <c r="K3" s="4">
        <v>1.8</v>
      </c>
      <c r="L3" s="4">
        <v>2.09</v>
      </c>
      <c r="M3" s="4">
        <v>1.79</v>
      </c>
    </row>
    <row r="4" spans="1:13" x14ac:dyDescent="0.35">
      <c r="A4" s="3" t="s">
        <v>33</v>
      </c>
      <c r="B4" s="4">
        <v>7326.79</v>
      </c>
      <c r="C4" s="4">
        <v>266.98</v>
      </c>
      <c r="D4" s="4">
        <v>1.8</v>
      </c>
      <c r="E4" s="4">
        <v>1.5</v>
      </c>
      <c r="F4" s="4">
        <v>1.5</v>
      </c>
      <c r="G4" s="4">
        <v>1.5</v>
      </c>
      <c r="H4" s="4">
        <v>1.74</v>
      </c>
      <c r="I4" s="4">
        <v>2.04</v>
      </c>
      <c r="J4" s="4">
        <v>1.74</v>
      </c>
      <c r="K4" s="4">
        <v>2.04</v>
      </c>
      <c r="L4" s="4">
        <v>1.8</v>
      </c>
      <c r="M4" s="4">
        <v>1.5</v>
      </c>
    </row>
    <row r="5" spans="1:13" x14ac:dyDescent="0.35">
      <c r="A5" s="3" t="s">
        <v>30</v>
      </c>
      <c r="B5" s="4">
        <v>7107.7</v>
      </c>
      <c r="C5" s="4">
        <v>631.79999999999995</v>
      </c>
      <c r="D5" s="4">
        <v>1.8</v>
      </c>
      <c r="E5" s="4">
        <v>2.09</v>
      </c>
      <c r="F5" s="4">
        <v>1.8</v>
      </c>
      <c r="G5" s="4">
        <v>1.5</v>
      </c>
      <c r="H5" s="4">
        <v>1.8</v>
      </c>
      <c r="I5" s="4">
        <v>1.5</v>
      </c>
      <c r="J5" s="4">
        <v>1.5</v>
      </c>
      <c r="K5" s="4">
        <v>1.8</v>
      </c>
      <c r="L5" s="4">
        <v>2.09</v>
      </c>
      <c r="M5" s="4">
        <v>1.8</v>
      </c>
    </row>
    <row r="6" spans="1:13" x14ac:dyDescent="0.35">
      <c r="A6" s="3" t="s">
        <v>34</v>
      </c>
      <c r="B6" s="4">
        <v>7463.88</v>
      </c>
      <c r="C6" s="4">
        <v>556.38</v>
      </c>
      <c r="D6" s="4">
        <v>1.8</v>
      </c>
      <c r="E6" s="4">
        <v>2.1</v>
      </c>
      <c r="F6" s="4">
        <v>1.8</v>
      </c>
      <c r="G6" s="4">
        <v>1.5</v>
      </c>
      <c r="H6" s="4">
        <v>1.8</v>
      </c>
      <c r="I6" s="4">
        <v>1.5</v>
      </c>
      <c r="J6" s="4">
        <v>1.5</v>
      </c>
      <c r="K6" s="4">
        <v>1.8</v>
      </c>
      <c r="L6" s="4">
        <v>2.1</v>
      </c>
      <c r="M6" s="4">
        <v>1.8</v>
      </c>
    </row>
    <row r="7" spans="1:13" x14ac:dyDescent="0.35">
      <c r="A7" s="3" t="s">
        <v>35</v>
      </c>
      <c r="B7" s="4">
        <v>6871.47</v>
      </c>
      <c r="C7" s="4">
        <v>677.3</v>
      </c>
      <c r="D7" s="4">
        <v>1.8</v>
      </c>
      <c r="E7" s="4">
        <v>2.1</v>
      </c>
      <c r="F7" s="4">
        <v>1.8</v>
      </c>
      <c r="G7" s="4">
        <v>1.5</v>
      </c>
      <c r="H7" s="4">
        <v>1.5</v>
      </c>
      <c r="I7" s="4">
        <v>1.5</v>
      </c>
      <c r="J7" s="4">
        <v>1.8</v>
      </c>
      <c r="K7" s="4">
        <v>2.1</v>
      </c>
      <c r="L7" s="4">
        <v>1.8</v>
      </c>
      <c r="M7" s="4">
        <v>1.5</v>
      </c>
    </row>
    <row r="8" spans="1:13" x14ac:dyDescent="0.35">
      <c r="A8" s="3" t="s">
        <v>36</v>
      </c>
      <c r="B8" s="4">
        <v>7284.95</v>
      </c>
      <c r="C8" s="4">
        <v>696.85</v>
      </c>
      <c r="D8" s="4">
        <v>2.5499999999999998</v>
      </c>
      <c r="E8" s="4">
        <v>2.25</v>
      </c>
      <c r="F8" s="4">
        <v>1.95</v>
      </c>
      <c r="G8" s="4">
        <v>1.65</v>
      </c>
      <c r="H8" s="4">
        <v>1.95</v>
      </c>
      <c r="I8" s="4">
        <v>1.65</v>
      </c>
      <c r="J8" s="4">
        <v>1.5</v>
      </c>
      <c r="K8" s="4">
        <v>1.8</v>
      </c>
      <c r="L8" s="4">
        <v>2.1</v>
      </c>
      <c r="M8" s="4">
        <v>1.8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economic value</vt:lpstr>
      <vt:lpstr>best solutions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Bista,Bishal</dc:creator>
  <cp:lastModifiedBy>Bishal Bista</cp:lastModifiedBy>
  <dcterms:created xsi:type="dcterms:W3CDTF">2024-07-25T12:48:13Z</dcterms:created>
  <dcterms:modified xsi:type="dcterms:W3CDTF">2024-08-07T20:18:33Z</dcterms:modified>
</cp:coreProperties>
</file>